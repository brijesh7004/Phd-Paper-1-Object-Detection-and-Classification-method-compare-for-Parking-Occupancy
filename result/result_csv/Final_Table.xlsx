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ark_Knight\Phd Projects\github\Phd-Paper-1-Object-Detection-and-Classification-method-compare-for-Parking-Occupancy\z Result -Classification, Detection\result_csv\"/>
    </mc:Choice>
  </mc:AlternateContent>
  <bookViews>
    <workbookView xWindow="0" yWindow="0" windowWidth="19635" windowHeight="871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M9" i="1"/>
  <c r="L9" i="1"/>
  <c r="K9" i="1"/>
  <c r="J9" i="1"/>
  <c r="I9" i="1"/>
  <c r="H9" i="1"/>
  <c r="G9" i="1"/>
  <c r="O8" i="1"/>
  <c r="M8" i="1"/>
  <c r="L8" i="1"/>
  <c r="K8" i="1"/>
  <c r="J8" i="1"/>
  <c r="I8" i="1"/>
  <c r="H8" i="1"/>
  <c r="G8" i="1"/>
  <c r="O7" i="1"/>
  <c r="M7" i="1"/>
  <c r="L7" i="1"/>
  <c r="K7" i="1"/>
  <c r="J7" i="1"/>
  <c r="I7" i="1"/>
  <c r="H7" i="1"/>
  <c r="G7" i="1"/>
  <c r="O6" i="1"/>
  <c r="M6" i="1"/>
  <c r="L6" i="1"/>
  <c r="K6" i="1"/>
  <c r="J6" i="1"/>
  <c r="I6" i="1"/>
  <c r="H6" i="1"/>
  <c r="G6" i="1"/>
  <c r="O5" i="1"/>
  <c r="M5" i="1"/>
  <c r="L5" i="1"/>
  <c r="K5" i="1"/>
  <c r="J5" i="1"/>
  <c r="I5" i="1"/>
  <c r="H5" i="1"/>
  <c r="G5" i="1"/>
  <c r="O4" i="1"/>
  <c r="M4" i="1"/>
  <c r="L4" i="1"/>
  <c r="K4" i="1"/>
  <c r="J4" i="1"/>
  <c r="I4" i="1"/>
  <c r="H4" i="1"/>
  <c r="G4" i="1"/>
  <c r="O3" i="1"/>
  <c r="M3" i="1"/>
  <c r="L3" i="1"/>
  <c r="K3" i="1"/>
  <c r="J3" i="1"/>
  <c r="I3" i="1"/>
  <c r="H3" i="1"/>
  <c r="G3" i="1"/>
  <c r="O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<sst xmlns="http://schemas.openxmlformats.org/spreadsheetml/2006/main" count="25" uniqueCount="22">
  <si>
    <t>Method</t>
  </si>
  <si>
    <t>Name</t>
  </si>
  <si>
    <t>TP</t>
  </si>
  <si>
    <t>TN</t>
  </si>
  <si>
    <t>FP</t>
  </si>
  <si>
    <t>FN</t>
  </si>
  <si>
    <t>Precision</t>
  </si>
  <si>
    <t>Recall</t>
  </si>
  <si>
    <t>Accuracy</t>
  </si>
  <si>
    <t>F1 Score</t>
  </si>
  <si>
    <t>Processing Time</t>
  </si>
  <si>
    <t>FPS</t>
  </si>
  <si>
    <t>Detection</t>
  </si>
  <si>
    <t>RetinaNet</t>
  </si>
  <si>
    <t>SSD</t>
  </si>
  <si>
    <t>YOLO8</t>
  </si>
  <si>
    <t>YOLO9</t>
  </si>
  <si>
    <t>Classification</t>
  </si>
  <si>
    <t>ResNet50</t>
  </si>
  <si>
    <t>VGG16</t>
  </si>
  <si>
    <t>AlexNet</t>
  </si>
  <si>
    <t>MobileNet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</si>
</sst>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164" fontId="0" fillId="0" borderId="0" xfId="0" applyNumberFormat="1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 Detection &amp; Classification Result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TP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534</c:v>
                </c:pt>
                <c:pt idx="1">
                  <c:v>331</c:v>
                </c:pt>
                <c:pt idx="2">
                  <c:v>584</c:v>
                </c:pt>
                <c:pt idx="3">
                  <c:v>600</c:v>
                </c:pt>
                <c:pt idx="4">
                  <c:v>578</c:v>
                </c:pt>
                <c:pt idx="5">
                  <c:v>415</c:v>
                </c:pt>
                <c:pt idx="6">
                  <c:v>398</c:v>
                </c:pt>
                <c:pt idx="7">
                  <c:v>593</c:v>
                </c:pt>
              </c:numCache>
            </c:numRef>
          </c:val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TN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207</c:v>
                </c:pt>
                <c:pt idx="1">
                  <c:v>207</c:v>
                </c:pt>
                <c:pt idx="2">
                  <c:v>207</c:v>
                </c:pt>
                <c:pt idx="3">
                  <c:v>207</c:v>
                </c:pt>
                <c:pt idx="4">
                  <c:v>30</c:v>
                </c:pt>
                <c:pt idx="5">
                  <c:v>15</c:v>
                </c:pt>
                <c:pt idx="6">
                  <c:v>71</c:v>
                </c:pt>
                <c:pt idx="7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FP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</c:v>
                </c:pt>
                <c:pt idx="5">
                  <c:v>309</c:v>
                </c:pt>
                <c:pt idx="6">
                  <c:v>338</c:v>
                </c:pt>
                <c:pt idx="7">
                  <c:v>212</c:v>
                </c:pt>
              </c:numCache>
            </c:numRef>
          </c:val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FN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65</c:v>
                </c:pt>
                <c:pt idx="1">
                  <c:v>270</c:v>
                </c:pt>
                <c:pt idx="2">
                  <c:v>17</c:v>
                </c:pt>
                <c:pt idx="3">
                  <c:v>1</c:v>
                </c:pt>
                <c:pt idx="4">
                  <c:v>0</c:v>
                </c:pt>
                <c:pt idx="5">
                  <c:v>69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-16584976"/>
        <c:axId val="-16586608"/>
      </c:barChart>
      <c:catAx>
        <c:axId val="-16584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86608"/>
        <c:crosses val="autoZero"/>
        <c:auto val="1"/>
        <c:lblAlgn val="ctr"/>
        <c:lblOffset val="100"/>
        <c:noMultiLvlLbl val="0"/>
      </c:catAx>
      <c:valAx>
        <c:axId val="-165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84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3"/>
          <c:tx>
            <c:strRef>
              <c:f>Sheet1!$J$1</c:f>
              <c:strCache>
                <c:ptCount val="1"/>
                <c:pt idx="0">
                  <c:v>Precision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Sheet1!$J$2:$J$9</c:f>
              <c:numCache>
                <c:formatCode>0.000_ </c:formatCode>
                <c:ptCount val="8"/>
                <c:pt idx="0">
                  <c:v>99.626865671641795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74.293059125964007</c:v>
                </c:pt>
                <c:pt idx="5">
                  <c:v>57.3204419889503</c:v>
                </c:pt>
                <c:pt idx="6">
                  <c:v>54.076086956521699</c:v>
                </c:pt>
                <c:pt idx="7">
                  <c:v>73.664596273291906</c:v>
                </c:pt>
              </c:numCache>
            </c:numRef>
          </c:val>
        </c:ser>
        <c:ser>
          <c:idx val="8"/>
          <c:order val="4"/>
          <c:tx>
            <c:strRef>
              <c:f>Sheet1!$K$1</c:f>
              <c:strCache>
                <c:ptCount val="1"/>
                <c:pt idx="0">
                  <c:v>Recall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lumMod val="40000"/>
                    <a:lumOff val="60000"/>
                  </a:schemeClr>
                </a:gs>
                <a:gs pos="90000">
                  <a:schemeClr val="accent3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Sheet1!$K$2:$K$9</c:f>
              <c:numCache>
                <c:formatCode>0.000_ </c:formatCode>
                <c:ptCount val="8"/>
                <c:pt idx="0">
                  <c:v>89.148580968280498</c:v>
                </c:pt>
                <c:pt idx="1">
                  <c:v>55.0748752079867</c:v>
                </c:pt>
                <c:pt idx="2">
                  <c:v>97.171381031614004</c:v>
                </c:pt>
                <c:pt idx="3">
                  <c:v>99.833610648918494</c:v>
                </c:pt>
                <c:pt idx="4">
                  <c:v>100</c:v>
                </c:pt>
                <c:pt idx="5">
                  <c:v>85.7438016528926</c:v>
                </c:pt>
                <c:pt idx="6">
                  <c:v>99.749373433583997</c:v>
                </c:pt>
                <c:pt idx="7">
                  <c:v>99.831649831649798</c:v>
                </c:pt>
              </c:numCache>
            </c:numRef>
          </c:val>
        </c:ser>
        <c:ser>
          <c:idx val="9"/>
          <c:order val="5"/>
          <c:tx>
            <c:strRef>
              <c:f>Sheet1!$L$1</c:f>
              <c:strCache>
                <c:ptCount val="1"/>
                <c:pt idx="0">
                  <c:v>Accuracy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80000"/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Sheet1!$L$2:$L$9</c:f>
              <c:numCache>
                <c:formatCode>0.000_ </c:formatCode>
                <c:ptCount val="8"/>
                <c:pt idx="0">
                  <c:v>91.707920792079193</c:v>
                </c:pt>
                <c:pt idx="1">
                  <c:v>66.5841584158416</c:v>
                </c:pt>
                <c:pt idx="2">
                  <c:v>97.896039603960403</c:v>
                </c:pt>
                <c:pt idx="3">
                  <c:v>99.876237623762407</c:v>
                </c:pt>
                <c:pt idx="4">
                  <c:v>75.247524752475201</c:v>
                </c:pt>
                <c:pt idx="5">
                  <c:v>53.217821782178198</c:v>
                </c:pt>
                <c:pt idx="6">
                  <c:v>58.0445544554455</c:v>
                </c:pt>
                <c:pt idx="7">
                  <c:v>73.638613861386105</c:v>
                </c:pt>
              </c:numCache>
            </c:numRef>
          </c:val>
        </c:ser>
        <c:ser>
          <c:idx val="0"/>
          <c:order val="6"/>
          <c:tx>
            <c:strRef>
              <c:f>Sheet1!$M$1</c:f>
              <c:strCache>
                <c:ptCount val="1"/>
                <c:pt idx="0">
                  <c:v>F1 Score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RetinaNet</c:v>
                  </c:pt>
                  <c:pt idx="1">
                    <c:v>SSD</c:v>
                  </c:pt>
                  <c:pt idx="2">
                    <c:v>YOLO8</c:v>
                  </c:pt>
                  <c:pt idx="3">
                    <c:v>YOLO9</c:v>
                  </c:pt>
                  <c:pt idx="4">
                    <c:v>ResNet50</c:v>
                  </c:pt>
                  <c:pt idx="5">
                    <c:v>VGG16</c:v>
                  </c:pt>
                  <c:pt idx="6">
                    <c:v>AlexNet</c:v>
                  </c:pt>
                  <c:pt idx="7">
                    <c:v>MobileNet</c:v>
                  </c:pt>
                </c:lvl>
                <c:lvl>
                  <c:pt idx="0">
                    <c:v>Detection</c:v>
                  </c:pt>
                  <c:pt idx="4">
                    <c:v>Classification</c:v>
                  </c:pt>
                </c:lvl>
              </c:multiLvlStrCache>
            </c:multiLvlStrRef>
          </c:cat>
          <c:val>
            <c:numRef>
              <c:f>Sheet1!$M$2:$M$9</c:f>
              <c:numCache>
                <c:formatCode>0.000_ </c:formatCode>
                <c:ptCount val="8"/>
                <c:pt idx="0">
                  <c:v>94.096916299559496</c:v>
                </c:pt>
                <c:pt idx="1">
                  <c:v>71.030042918454896</c:v>
                </c:pt>
                <c:pt idx="2">
                  <c:v>98.565400843881903</c:v>
                </c:pt>
                <c:pt idx="3">
                  <c:v>99.916736053288901</c:v>
                </c:pt>
                <c:pt idx="4">
                  <c:v>85.250737463126796</c:v>
                </c:pt>
                <c:pt idx="5">
                  <c:v>68.708609271523201</c:v>
                </c:pt>
                <c:pt idx="6">
                  <c:v>70.132158590308407</c:v>
                </c:pt>
                <c:pt idx="7">
                  <c:v>84.774839170836302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-16592048"/>
        <c:axId val="-16583888"/>
        <c:extLst>
          <c:ext xmlns:c15="http://schemas.microsoft.com/office/drawing/2012/chart" uri="{02D57815-91ED-43cb-92C2-25804820EDAC}">
            <c15:filteredBa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Precision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>
                          <a:lumMod val="40000"/>
                          <a:lumOff val="60000"/>
                        </a:schemeClr>
                      </a:gs>
                      <a:gs pos="90000">
                        <a:schemeClr val="accent5"/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5"/>
                        </a:gs>
                        <a:gs pos="100000">
                          <a:schemeClr val="accent5">
                            <a:lumMod val="75000"/>
                          </a:schemeClr>
                        </a:gs>
                      </a:gsLst>
                      <a:lin ang="5400000" scaled="1"/>
                    </a:gradFill>
                  </a:ln>
                  <a:effectLst>
                    <a:outerShdw blurRad="76200" dist="25400" dir="2700000" algn="tl" rotWithShape="0">
                      <a:schemeClr val="accent4">
                        <a:lumMod val="60000"/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Sheet1!$A$2:$B$9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RetinaNet</c:v>
                        </c:pt>
                        <c:pt idx="1">
                          <c:v>SSD</c:v>
                        </c:pt>
                        <c:pt idx="2">
                          <c:v>YOLO8</c:v>
                        </c:pt>
                        <c:pt idx="3">
                          <c:v>YOLO9</c:v>
                        </c:pt>
                        <c:pt idx="4">
                          <c:v>ResNet50</c:v>
                        </c:pt>
                        <c:pt idx="5">
                          <c:v>VGG16</c:v>
                        </c:pt>
                        <c:pt idx="6">
                          <c:v>AlexNet</c:v>
                        </c:pt>
                        <c:pt idx="7">
                          <c:v>MobileNet</c:v>
                        </c:pt>
                      </c:lvl>
                      <c:lvl>
                        <c:pt idx="0">
                          <c:v>Detection</c:v>
                        </c:pt>
                        <c:pt idx="4">
                          <c:v>Classification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Sheet1!$G$2:$G$9</c15:sqref>
                        </c15:formulaRef>
                      </c:ext>
                    </c:extLst>
                  </c:numRef>
                </c:val>
              </c15:ser>
            </c15:filteredBarSeries>
            <c15:filteredBar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lumMod val="40000"/>
                          <a:lumOff val="60000"/>
                        </a:schemeClr>
                      </a:gs>
                      <a:gs pos="90000">
                        <a:schemeClr val="accent6"/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6"/>
                        </a:gs>
                        <a:gs pos="100000">
                          <a:schemeClr val="accent6">
                            <a:lumMod val="75000"/>
                          </a:schemeClr>
                        </a:gs>
                      </a:gsLst>
                      <a:lin ang="5400000" scaled="1"/>
                    </a:gradFill>
                  </a:ln>
                  <a:effectLst>
                    <a:outerShdw blurRad="76200" dist="25400" dir="2700000" algn="tl" rotWithShape="0">
                      <a:schemeClr val="accent6">
                        <a:lumMod val="60000"/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Sheet1!$A$2:$B$9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RetinaNet</c:v>
                        </c:pt>
                        <c:pt idx="1">
                          <c:v>SSD</c:v>
                        </c:pt>
                        <c:pt idx="2">
                          <c:v>YOLO8</c:v>
                        </c:pt>
                        <c:pt idx="3">
                          <c:v>YOLO9</c:v>
                        </c:pt>
                        <c:pt idx="4">
                          <c:v>ResNet50</c:v>
                        </c:pt>
                        <c:pt idx="5">
                          <c:v>VGG16</c:v>
                        </c:pt>
                        <c:pt idx="6">
                          <c:v>AlexNet</c:v>
                        </c:pt>
                        <c:pt idx="7">
                          <c:v>MobileNet</c:v>
                        </c:pt>
                      </c:lvl>
                      <c:lvl>
                        <c:pt idx="0">
                          <c:v>Detection</c:v>
                        </c:pt>
                        <c:pt idx="4">
                          <c:v>Classification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Sheet1!$H$2:$H$9</c15:sqref>
                        </c15:formulaRef>
                      </c:ext>
                    </c:extLst>
                  </c:numRef>
                </c:val>
              </c15:ser>
            </c15:filteredBarSeries>
            <c15:filteredBar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lumMod val="60000"/>
                          <a:lumMod val="40000"/>
                          <a:lumOff val="60000"/>
                        </a:schemeClr>
                      </a:gs>
                      <a:gs pos="90000">
                        <a:schemeClr val="accent1">
                          <a:lumMod val="60000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1">
                            <a:lumMod val="60000"/>
                          </a:schemeClr>
                        </a:gs>
                        <a:gs pos="100000">
                          <a:schemeClr val="accent1">
                            <a:lumMod val="60000"/>
                            <a:lumMod val="75000"/>
                          </a:schemeClr>
                        </a:gs>
                      </a:gsLst>
                      <a:lin ang="5400000" scaled="1"/>
                    </a:gradFill>
                  </a:ln>
                  <a:effectLst>
                    <a:outerShdw blurRad="76200" dist="25400" dir="2700000" algn="tl" rotWithShape="0">
                      <a:schemeClr val="accent2">
                        <a:lumMod val="80000"/>
                        <a:lumOff val="20000"/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Sheet1!$A$2:$B$9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RetinaNet</c:v>
                        </c:pt>
                        <c:pt idx="1">
                          <c:v>SSD</c:v>
                        </c:pt>
                        <c:pt idx="2">
                          <c:v>YOLO8</c:v>
                        </c:pt>
                        <c:pt idx="3">
                          <c:v>YOLO9</c:v>
                        </c:pt>
                        <c:pt idx="4">
                          <c:v>ResNet50</c:v>
                        </c:pt>
                        <c:pt idx="5">
                          <c:v>VGG16</c:v>
                        </c:pt>
                        <c:pt idx="6">
                          <c:v>AlexNet</c:v>
                        </c:pt>
                        <c:pt idx="7">
                          <c:v>MobileNet</c:v>
                        </c:pt>
                      </c:lvl>
                      <c:lvl>
                        <c:pt idx="0">
                          <c:v>Detection</c:v>
                        </c:pt>
                        <c:pt idx="4">
                          <c:v>Classification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Sheet1!$I$2:$I$9</c15:sqref>
                        </c15:formulaRef>
                      </c:ext>
                    </c:extLst>
                  </c:numRef>
                </c:val>
              </c15:ser>
            </c15:filteredBarSeries>
          </c:ext>
        </c:extLst>
      </c:barChart>
      <c:catAx>
        <c:axId val="-16592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83888"/>
        <c:crosses val="autoZero"/>
        <c:auto val="1"/>
        <c:lblAlgn val="ctr"/>
        <c:lblOffset val="100"/>
        <c:noMultiLvlLbl val="0"/>
      </c:catAx>
      <c:valAx>
        <c:axId val="-165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98425</xdr:colOff>
      <xdr:row>9</xdr:row>
      <xdr:rowOff>59690</xdr:rowOff>
    </xdr:from>
    <xdr:to>
      <xdr:col>12</xdr:col>
      <xdr:colOff>170815</xdr:colOff>
      <xdr:row>26</xdr:row>
      <xdr:rowOff>22225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298450</xdr:colOff>
      <xdr:row>10</xdr:row>
      <xdr:rowOff>146050</xdr:rowOff>
    </xdr:from>
    <xdr:to>
      <xdr:col>20</xdr:col>
      <xdr:colOff>323850</xdr:colOff>
      <xdr:row>25</xdr:row>
      <xdr:rowOff>31750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A7" workbookViewId="0">
      <selection activeCell="R3" sqref="R3:S7"/>
    </sheetView>
  </sheetViews>
  <sheetFormatPr defaultColWidth="9" defaultRowHeight="15"/>
  <cols>
    <col min="1" max="1" width="13.7109375" customWidth="1"/>
    <col min="2" max="2" width="11.28515625" customWidth="1"/>
    <col min="3" max="6" width="6.7109375" customWidth="1"/>
    <col min="7" max="9" width="9" hidden="1" customWidth="1"/>
    <col min="10" max="10" width="9.7109375" customWidth="1"/>
    <col min="11" max="11" width="8.5703125" customWidth="1"/>
    <col min="12" max="12" width="9.28515625" customWidth="1"/>
    <col min="15" max="15" width="8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8</v>
      </c>
      <c r="M1" t="s">
        <v>9</v>
      </c>
      <c r="N1" t="s">
        <v>10</v>
      </c>
      <c r="O1" t="s">
        <v>11</v>
      </c>
    </row>
    <row r="2" spans="1:15">
      <c r="A2" t="s">
        <v>12</v>
      </c>
      <c r="B2" t="s">
        <v>13</v>
      </c>
      <c r="C2">
        <v>534</v>
      </c>
      <c r="D2">
        <v>207</v>
      </c>
      <c r="E2">
        <v>2</v>
      </c>
      <c r="F2">
        <v>65</v>
      </c>
      <c r="G2" s="2">
        <f t="shared" ref="G2:G9" si="0">C2/(C2+E2)</f>
        <v>0.99626865671641796</v>
      </c>
      <c r="H2" s="2">
        <f t="shared" ref="H2:H9" si="1">C2/(C2+F2)</f>
        <v>0.891485809682805</v>
      </c>
      <c r="I2" s="2">
        <f t="shared" ref="I2:I9" si="2">(C2+D2)/SUM(C2:F2)</f>
        <v>0.91707920792079201</v>
      </c>
      <c r="J2" s="3">
        <f>C2/(C2+E2)*100</f>
        <v>99.626865671641795</v>
      </c>
      <c r="K2" s="3">
        <f>C2/(C2+F2)*100</f>
        <v>89.148580968280498</v>
      </c>
      <c r="L2" s="3">
        <f>(C2+D2)/SUM(C2:F2)*100</f>
        <v>91.707920792079193</v>
      </c>
      <c r="M2" s="3">
        <f>(2*J2*K2)/(J2+K2)</f>
        <v>94.096916299559496</v>
      </c>
      <c r="N2">
        <v>4.2530000000000001</v>
      </c>
      <c r="O2">
        <f>ROUND(1/N2,3)</f>
        <v>0.23499999999999999</v>
      </c>
    </row>
    <row r="3" spans="1:15">
      <c r="B3" t="s">
        <v>14</v>
      </c>
      <c r="C3">
        <v>331</v>
      </c>
      <c r="D3">
        <v>207</v>
      </c>
      <c r="E3">
        <v>0</v>
      </c>
      <c r="F3">
        <v>270</v>
      </c>
      <c r="G3" s="2">
        <f t="shared" si="0"/>
        <v>1</v>
      </c>
      <c r="H3" s="2">
        <f t="shared" si="1"/>
        <v>0.55074875207986695</v>
      </c>
      <c r="I3" s="2">
        <f t="shared" si="2"/>
        <v>0.66584158415841599</v>
      </c>
      <c r="J3" s="3">
        <f t="shared" ref="J3:J9" si="3">C3/(C3+E3)*100</f>
        <v>100</v>
      </c>
      <c r="K3" s="3">
        <f t="shared" ref="K3:K9" si="4">C3/(C3+F3)*100</f>
        <v>55.0748752079867</v>
      </c>
      <c r="L3" s="3">
        <f t="shared" ref="L3:L9" si="5">(C3+D3)/SUM(C3:F3)*100</f>
        <v>66.5841584158416</v>
      </c>
      <c r="M3" s="3">
        <f t="shared" ref="M3:M9" si="6">(2*J3*K3)/(J3+K3)</f>
        <v>71.030042918454896</v>
      </c>
      <c r="N3">
        <v>6.7000000000000004E-2</v>
      </c>
      <c r="O3">
        <f t="shared" ref="O3:O9" si="7">ROUND(1/N3,3)</f>
        <v>14.925000000000001</v>
      </c>
    </row>
    <row r="4" spans="1:15">
      <c r="B4" t="s">
        <v>15</v>
      </c>
      <c r="C4">
        <v>584</v>
      </c>
      <c r="D4">
        <v>207</v>
      </c>
      <c r="E4">
        <v>0</v>
      </c>
      <c r="F4">
        <v>17</v>
      </c>
      <c r="G4" s="2">
        <f t="shared" si="0"/>
        <v>1</v>
      </c>
      <c r="H4" s="2">
        <f t="shared" si="1"/>
        <v>0.97171381031614001</v>
      </c>
      <c r="I4" s="2">
        <f t="shared" si="2"/>
        <v>0.97896039603960405</v>
      </c>
      <c r="J4" s="3">
        <f t="shared" si="3"/>
        <v>100</v>
      </c>
      <c r="K4" s="3">
        <f t="shared" si="4"/>
        <v>97.171381031614004</v>
      </c>
      <c r="L4" s="3">
        <f t="shared" si="5"/>
        <v>97.896039603960403</v>
      </c>
      <c r="M4" s="3">
        <f t="shared" si="6"/>
        <v>98.565400843881903</v>
      </c>
      <c r="N4">
        <v>0.29099999999999998</v>
      </c>
      <c r="O4">
        <f t="shared" si="7"/>
        <v>3.4359999999999999</v>
      </c>
    </row>
    <row r="5" spans="1:15">
      <c r="B5" t="s">
        <v>16</v>
      </c>
      <c r="C5">
        <v>600</v>
      </c>
      <c r="D5">
        <v>207</v>
      </c>
      <c r="E5">
        <v>0</v>
      </c>
      <c r="F5">
        <v>1</v>
      </c>
      <c r="G5" s="2">
        <f t="shared" si="0"/>
        <v>1</v>
      </c>
      <c r="H5" s="2">
        <f t="shared" si="1"/>
        <v>0.99833610648918503</v>
      </c>
      <c r="I5" s="2">
        <f t="shared" si="2"/>
        <v>0.99876237623762398</v>
      </c>
      <c r="J5" s="3">
        <f t="shared" si="3"/>
        <v>100</v>
      </c>
      <c r="K5" s="3">
        <f t="shared" si="4"/>
        <v>99.833610648918494</v>
      </c>
      <c r="L5" s="3">
        <f t="shared" si="5"/>
        <v>99.876237623762407</v>
      </c>
      <c r="M5" s="3">
        <f t="shared" si="6"/>
        <v>99.916736053288901</v>
      </c>
      <c r="N5">
        <v>2.1179999999999999</v>
      </c>
      <c r="O5">
        <f t="shared" si="7"/>
        <v>0.47199999999999998</v>
      </c>
    </row>
    <row r="6" spans="1:15">
      <c r="A6" t="s">
        <v>17</v>
      </c>
      <c r="B6" t="s">
        <v>18</v>
      </c>
      <c r="C6">
        <v>578</v>
      </c>
      <c r="D6">
        <v>30</v>
      </c>
      <c r="E6">
        <v>200</v>
      </c>
      <c r="F6">
        <v>0</v>
      </c>
      <c r="G6" s="2">
        <f t="shared" si="0"/>
        <v>0.74293059125964001</v>
      </c>
      <c r="H6" s="2">
        <f t="shared" si="1"/>
        <v>1</v>
      </c>
      <c r="I6" s="2">
        <f t="shared" si="2"/>
        <v>0.75247524752475203</v>
      </c>
      <c r="J6" s="3">
        <f t="shared" si="3"/>
        <v>74.293059125964007</v>
      </c>
      <c r="K6" s="3">
        <f t="shared" si="4"/>
        <v>100</v>
      </c>
      <c r="L6" s="3">
        <f t="shared" si="5"/>
        <v>75.247524752475201</v>
      </c>
      <c r="M6" s="3">
        <f t="shared" si="6"/>
        <v>85.250737463126796</v>
      </c>
      <c r="N6">
        <v>0.59299999999999997</v>
      </c>
      <c r="O6">
        <f t="shared" si="7"/>
        <v>1.6859999999999999</v>
      </c>
    </row>
    <row r="7" spans="1:15">
      <c r="B7" t="s">
        <v>19</v>
      </c>
      <c r="C7">
        <v>415</v>
      </c>
      <c r="D7">
        <v>15</v>
      </c>
      <c r="E7">
        <v>309</v>
      </c>
      <c r="F7">
        <v>69</v>
      </c>
      <c r="G7" s="2">
        <f t="shared" si="0"/>
        <v>0.57320441988950299</v>
      </c>
      <c r="H7" s="2">
        <f t="shared" si="1"/>
        <v>0.85743801652892604</v>
      </c>
      <c r="I7" s="2">
        <f t="shared" si="2"/>
        <v>0.53217821782178198</v>
      </c>
      <c r="J7" s="3">
        <f t="shared" si="3"/>
        <v>57.3204419889503</v>
      </c>
      <c r="K7" s="3">
        <f t="shared" si="4"/>
        <v>85.7438016528926</v>
      </c>
      <c r="L7" s="3">
        <f t="shared" si="5"/>
        <v>53.217821782178198</v>
      </c>
      <c r="M7" s="3">
        <f t="shared" si="6"/>
        <v>68.708609271523201</v>
      </c>
      <c r="N7">
        <v>0.51100000000000001</v>
      </c>
      <c r="O7">
        <f t="shared" si="7"/>
        <v>1.9570000000000001</v>
      </c>
    </row>
    <row r="8" spans="1:15">
      <c r="B8" t="s">
        <v>20</v>
      </c>
      <c r="C8">
        <v>398</v>
      </c>
      <c r="D8">
        <v>71</v>
      </c>
      <c r="E8">
        <v>338</v>
      </c>
      <c r="F8">
        <v>1</v>
      </c>
      <c r="G8" s="2">
        <f t="shared" si="0"/>
        <v>0.54076086956521696</v>
      </c>
      <c r="H8" s="2">
        <f t="shared" si="1"/>
        <v>0.99749373433583999</v>
      </c>
      <c r="I8" s="2">
        <f t="shared" si="2"/>
        <v>0.58044554455445496</v>
      </c>
      <c r="J8" s="3">
        <f t="shared" si="3"/>
        <v>54.076086956521699</v>
      </c>
      <c r="K8" s="3">
        <f t="shared" si="4"/>
        <v>99.749373433583997</v>
      </c>
      <c r="L8" s="3">
        <f t="shared" si="5"/>
        <v>58.0445544554455</v>
      </c>
      <c r="M8" s="3">
        <f t="shared" si="6"/>
        <v>70.132158590308407</v>
      </c>
      <c r="N8">
        <v>0.42799999999999999</v>
      </c>
      <c r="O8">
        <f t="shared" si="7"/>
        <v>2.3359999999999999</v>
      </c>
    </row>
    <row r="9" spans="1:15">
      <c r="B9" t="s">
        <v>21</v>
      </c>
      <c r="C9">
        <v>593</v>
      </c>
      <c r="D9">
        <v>2</v>
      </c>
      <c r="E9">
        <v>212</v>
      </c>
      <c r="F9">
        <v>1</v>
      </c>
      <c r="G9" s="2">
        <f t="shared" si="0"/>
        <v>0.73664596273291905</v>
      </c>
      <c r="H9" s="2">
        <f t="shared" si="1"/>
        <v>0.99831649831649805</v>
      </c>
      <c r="I9" s="2">
        <f t="shared" si="2"/>
        <v>0.73638613861386104</v>
      </c>
      <c r="J9" s="3">
        <f t="shared" si="3"/>
        <v>73.664596273291906</v>
      </c>
      <c r="K9" s="3">
        <f t="shared" si="4"/>
        <v>99.831649831649798</v>
      </c>
      <c r="L9" s="3">
        <f t="shared" si="5"/>
        <v>73.638613861386105</v>
      </c>
      <c r="M9" s="3">
        <f t="shared" si="6"/>
        <v>84.774839170836302</v>
      </c>
      <c r="N9" s="3">
        <v>0.56000000000000005</v>
      </c>
      <c r="O9">
        <f t="shared" si="7"/>
        <v>1.786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Brshfjd Sosdkjf</cp:lastModifiedBy>
  <dcterms:created xsi:type="dcterms:W3CDTF">2024-05-16T10:38:00Z</dcterms:created>
  <dcterms:modified xsi:type="dcterms:W3CDTF">2026-01-13T06:27:47Z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46E77EA1EE83401297DEE3528482424D_12</vt:lpwstr>
  </property>
  <property fmtid="{D5CDD505-2E9C-101B-9397-08002B2CF9AE}" pid="3" name="KSOProductBuildVer">
    <vt:lpwstr>1033-12.2.0.16909</vt:lpwstr>
  </property>
</Properties>
</file>